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договоров" sheetId="1" state="visible" r:id="rId3"/>
    <sheet name="Детализация УП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<sst xmlns="http://schemas.openxmlformats.org/spreadsheetml/2006/main" count="216" uniqueCount="170">
  <si>
    <t xml:space="preserve">ООО "КОРПОРАЦИЯ ЭНЕРГИЯ РОСТ" — сводный реестр опыта исполнения аналогичных договоров</t>
  </si>
  <si>
    <t xml:space="preserve">Сведён из документов: «06 Опыт выполнения аналогичных договоров», «Форма 2 Опыт», «Форма 5 опыт выполнения аналогичных договоров». Использовать как источник данных при заполнении тендерных форм.</t>
  </si>
  <si>
    <t xml:space="preserve">№</t>
  </si>
  <si>
    <t xml:space="preserve">Номер и дата договора</t>
  </si>
  <si>
    <t xml:space="preserve">Заказчик</t>
  </si>
  <si>
    <t xml:space="preserve">ИНН заказчика</t>
  </si>
  <si>
    <t xml:space="preserve">Место выполнения</t>
  </si>
  <si>
    <t xml:space="preserve">Начало исполнения</t>
  </si>
  <si>
    <t xml:space="preserve">Окончание исполнения</t>
  </si>
  <si>
    <t xml:space="preserve">Предмет договора / объём поставки</t>
  </si>
  <si>
    <t xml:space="preserve">Сумма с НДС, руб.</t>
  </si>
  <si>
    <t xml:space="preserve">Сумма без НДС, руб.</t>
  </si>
  <si>
    <t xml:space="preserve">Подтверждающие документы (УПД)</t>
  </si>
  <si>
    <t xml:space="preserve">Претензии заказчика</t>
  </si>
  <si>
    <t xml:space="preserve">Источник данных</t>
  </si>
  <si>
    <t xml:space="preserve">Примечания / расхождения в источниках</t>
  </si>
  <si>
    <t xml:space="preserve">№ЭП164/21 (ЕИС №57805025346210002430000) от 06.04.2021</t>
  </si>
  <si>
    <t xml:space="preserve">АО «Морской порт Санкт-Петербург»</t>
  </si>
  <si>
    <t xml:space="preserve">7805025346</t>
  </si>
  <si>
    <t xml:space="preserve">Санкт-Петербург</t>
  </si>
  <si>
    <t xml:space="preserve">06.04.2021</t>
  </si>
  <si>
    <t xml:space="preserve">25.06.2021</t>
  </si>
  <si>
    <t xml:space="preserve">Поставка контейнеров 20 фут. г/п 27,53 т Flat Rack, 4 шт.</t>
  </si>
  <si>
    <t xml:space="preserve">УПД №71 от 09.06.2021 — 2 415 000; №82 от 22.06.2021 — 2 415 000; №83 от 23.06.2021 — 2 415 000</t>
  </si>
  <si>
    <t xml:space="preserve">нет</t>
  </si>
  <si>
    <t xml:space="preserve">Форма 06, Форма 5</t>
  </si>
  <si>
    <t xml:space="preserve">В Форме 5 окончание указано как 09.06.2021 (вероятно дата первой поставки, а не окончания договора)</t>
  </si>
  <si>
    <t xml:space="preserve">№2021-6.11.3-2 от 03.12.2021</t>
  </si>
  <si>
    <t xml:space="preserve">ООО «ССК «Звезда»</t>
  </si>
  <si>
    <t xml:space="preserve">2503032517</t>
  </si>
  <si>
    <t xml:space="preserve">Владивосток</t>
  </si>
  <si>
    <t xml:space="preserve">03.12.2021</t>
  </si>
  <si>
    <t xml:space="preserve">05.03.2022</t>
  </si>
  <si>
    <t xml:space="preserve">Поставка контейнеров 40 футов, высокий (High Cube), 70 шт.</t>
  </si>
  <si>
    <t xml:space="preserve">УПД №3 от 07.12.2021 — 9 386 300; №1 от 02.01.2022 — 6 704 500; №8 от 27.01.2022 — 5 363 600; №25 от 02.03.2022 — 6 704 500; №30 от 22.03.2022 — 6 704 500; №36 от 01.04.2022 — 8 045 400; №59 от 22.03.2022 — 4 022 700</t>
  </si>
  <si>
    <t xml:space="preserve">Форма 06, Форма 2, Форма 5</t>
  </si>
  <si>
    <t xml:space="preserve">Форма 5 указывает окончание 22.03.2022 (дата последнего УПД)</t>
  </si>
  <si>
    <t xml:space="preserve">№039/23339-Д от 18.05.2022</t>
  </si>
  <si>
    <t xml:space="preserve">АО «НИКИМТ-Атомстрой»</t>
  </si>
  <si>
    <t xml:space="preserve">7715719854</t>
  </si>
  <si>
    <t xml:space="preserve">Нововоронеж</t>
  </si>
  <si>
    <t xml:space="preserve">18.05.2022</t>
  </si>
  <si>
    <t xml:space="preserve">18.06.2022</t>
  </si>
  <si>
    <t xml:space="preserve">Поставка контейнеров 40 фут, 52 шт.</t>
  </si>
  <si>
    <t xml:space="preserve">УПД №60 от 23.05.2022 — 15 402 500; №77 от 17.06.2022 — 15 402 500; №174 от 30.11.2022 — 9 241 500</t>
  </si>
  <si>
    <t xml:space="preserve">Форма 5 указывает окончание 30.11.2022 (дата последнего УПД) и сумму без НДС 40 045 500 (расхождение на 1 000 руб.)</t>
  </si>
  <si>
    <t xml:space="preserve">№039/26577-Д от 01.06.2023</t>
  </si>
  <si>
    <t xml:space="preserve">01.06.2023</t>
  </si>
  <si>
    <t xml:space="preserve">25.06.2023</t>
  </si>
  <si>
    <t xml:space="preserve">Поставка контейнеров 40 фут, 8 шт.</t>
  </si>
  <si>
    <t xml:space="preserve">УПД №143 от 25.06.2023 — 4 072 000</t>
  </si>
  <si>
    <t xml:space="preserve">Форма 06</t>
  </si>
  <si>
    <t xml:space="preserve">№МТО/2023-2811 от 01.12.2023</t>
  </si>
  <si>
    <t xml:space="preserve">ООО «ГАЗПРОМ СПГ ПОРТОВАЯ»</t>
  </si>
  <si>
    <t xml:space="preserve">7728173890</t>
  </si>
  <si>
    <t xml:space="preserve">01.12.2023</t>
  </si>
  <si>
    <t xml:space="preserve">28.12.2023</t>
  </si>
  <si>
    <t xml:space="preserve">Поставка контейнеров 40-футовых, высокий/широкий, 7 шт.</t>
  </si>
  <si>
    <t xml:space="preserve">УПД №295 от 28.12.2023 — 2 615 071,62</t>
  </si>
  <si>
    <t xml:space="preserve">Форма 5 указывает окончание 09.01.2024</t>
  </si>
  <si>
    <t xml:space="preserve">№3390023/1071Д от ~19.09.2023</t>
  </si>
  <si>
    <t xml:space="preserve">ООО «РН-Ремстройинжиниринг»</t>
  </si>
  <si>
    <t xml:space="preserve">3801046690</t>
  </si>
  <si>
    <t xml:space="preserve">Санкт-Петербург (по Форме 2)</t>
  </si>
  <si>
    <t xml:space="preserve">19.09.2023</t>
  </si>
  <si>
    <t xml:space="preserve">Контейнер универсальный: 20 фут — 5 шт, 40 фут — 4 шт.</t>
  </si>
  <si>
    <t xml:space="preserve">УПД №285 от 27.11.2023 — 1 092 500,01; №266 от 30.11.2023 — 1 560 883,32; №299 от 28.12.2023 — 728 333,34</t>
  </si>
  <si>
    <t xml:space="preserve">ВНИМАНИЕ: в Форме 2 напротив этого номера договора ошибочно указан заказчик «ГАЗПРОМ СПГ ПОРТОВАЯ» — по Форме 06 и Форме 5 верный заказчик: ООО «РН-Ремстройинжиниринг». Форма 5: сумма 4 058 062,00 и окончание 19.12.2023. Требует проверки перед подачей.</t>
  </si>
  <si>
    <t xml:space="preserve">№ГСП-1-24-00370_2 от 14.06.2024</t>
  </si>
  <si>
    <t xml:space="preserve">ООО «ГСП-1»</t>
  </si>
  <si>
    <t xml:space="preserve">7810443290</t>
  </si>
  <si>
    <t xml:space="preserve">14.06.2024</t>
  </si>
  <si>
    <t xml:space="preserve">17.09.2024</t>
  </si>
  <si>
    <t xml:space="preserve">Поставка контейнеров 20 фут — 4 шт, 40 фут — 2 шт.</t>
  </si>
  <si>
    <t xml:space="preserve">УПД №185 от 08.08.2024 — 474 633,34; №189 от 19.08.2024 — 299 475,00; №202 от 03.09.2024 — 299 475,00; №217 от 17.09.2024 — 474 633,34</t>
  </si>
  <si>
    <t xml:space="preserve">Отсутствует в Форме 2 и Форме 5</t>
  </si>
  <si>
    <t xml:space="preserve">№2023.147843 от 09.08.2023</t>
  </si>
  <si>
    <t xml:space="preserve">ГУП «Водоканал Санкт-Петербурга»</t>
  </si>
  <si>
    <t xml:space="preserve">7806552610</t>
  </si>
  <si>
    <t xml:space="preserve">09.08.2023</t>
  </si>
  <si>
    <t xml:space="preserve">18.08.2023</t>
  </si>
  <si>
    <t xml:space="preserve">Поставка контейнеров 20 фут, 3 шт.</t>
  </si>
  <si>
    <t xml:space="preserve">УПД №159 от 18.08.2023 — 874 166,67</t>
  </si>
  <si>
    <t xml:space="preserve">№2787/25-ВЛ, Спецификация №2 от 11.03.2026</t>
  </si>
  <si>
    <t xml:space="preserve">АО «Чукотская горно-геологическая компания» (АО «ЧГГК»)</t>
  </si>
  <si>
    <t xml:space="preserve">г. Находка, Приморский край (транспортировка на месторождение Купол, Чукотский АО)</t>
  </si>
  <si>
    <t xml:space="preserve">11.03.2026</t>
  </si>
  <si>
    <t xml:space="preserve">Не подтверждено (срок поставки 60 к.д., ориентировочно ~10.05.2026)</t>
  </si>
  <si>
    <t xml:space="preserve">Контейнер 20-фут металл 6058х2438х2591мм стандартный 33000Л 2350кг, 160 шт.</t>
  </si>
  <si>
    <t xml:space="preserve">Спецификация №2 к дог. №2787-25-ВЛ (АО ЧГГК)</t>
  </si>
  <si>
    <t xml:space="preserve">Загружено пользователем. УПД/факт поставки не предоставлены — статус исполнения не подтверждён документально. ИНН заказчика в спецификации не указан.</t>
  </si>
  <si>
    <t xml:space="preserve">№3416/26-ВЛ, Спецификация №1 от 11.03.2026</t>
  </si>
  <si>
    <t xml:space="preserve">ООО «Северо-восточная горно-геологическая компания» (ООО «СВГГК»)</t>
  </si>
  <si>
    <t xml:space="preserve">г. Находка, Приморский край (транспортировка на месторождение «Телевеем», Чукотский АО)</t>
  </si>
  <si>
    <t xml:space="preserve">Контейнер 20-фут металл 6058х2438х2591мм стандартный 33000Л 2350кг, 175 шт.</t>
  </si>
  <si>
    <t xml:space="preserve">Спецификация №1 к дог. №3416-26-ВЛ (ООО СВГГК)</t>
  </si>
  <si>
    <t xml:space="preserve">Загружено пользователем. УПД/факт поставки не предоставлены. ИНН заказчика в спецификации не указан.</t>
  </si>
  <si>
    <t xml:space="preserve">№3417/26-ВЛ, Спецификация №1 от 11.03.2026</t>
  </si>
  <si>
    <t xml:space="preserve">ООО «Северное золото»</t>
  </si>
  <si>
    <t xml:space="preserve">8706005044</t>
  </si>
  <si>
    <t xml:space="preserve">689000, Чукотский АО, г. Анадырь, Южная ул., д. 1/2 (юр. адрес); тел. +7 (347) 663-36-00, +7 (4212) 20-55-12; email tatyana.snigur@kinross.com, magadan.office@kinross.com</t>
  </si>
  <si>
    <t xml:space="preserve">Контейнер 20-фут металл 6058х2438х2591мм стандартный 33000Л 2350кг, 15 шт.</t>
  </si>
  <si>
    <t xml:space="preserve">Спецификация №1 к дог. №3417-26-ВЛ (ООО Северное золото)</t>
  </si>
  <si>
    <t xml:space="preserve">Загружено пользователем. УПД/факт поставки не предоставлены. ИНН заказчика в спецификации не указан. ИНН/КПП/ОГРН и адрес уточнены пользователем по выписке ЕГРЮЛ (ОГРН 1078706000460 от 28.05.2007, КПП 870901001).</t>
  </si>
  <si>
    <t xml:space="preserve">№2094/24-ВЛ, Спецификация №3 от "__" февраля 2026 (день не указан в источнике)</t>
  </si>
  <si>
    <t xml:space="preserve">АО «Базовые Металлы»</t>
  </si>
  <si>
    <t xml:space="preserve">7720587949 (по аналогии с записью №9 — уточнить)</t>
  </si>
  <si>
    <t xml:space="preserve">г. Находка, Приморский край, ст.1 (транспортировка на месторождение Кекура, Чукотский АО)</t>
  </si>
  <si>
    <t xml:space="preserve">февраль 2026 (точная дата не указана)</t>
  </si>
  <si>
    <t xml:space="preserve">Не подтверждено (срок поставки 30 к.д. с даты подписания)</t>
  </si>
  <si>
    <t xml:space="preserve">Контейнер 20-фут металл 6058х2438х2591мм стандартный 33000Л 2350кг, Б/У, 150 шт.</t>
  </si>
  <si>
    <t xml:space="preserve">Спецификация №3 к дог. №2094-24-ВЛ (АО Базовые Металлы)</t>
  </si>
  <si>
    <t xml:space="preserve">ВНИМАНИЕ: заказчик АО «Базовые Металлы» уже есть в реестре (запись №9, договор №278/25-ВЛ от 16.05.2025, 500 шт, 68 704 998 руб.) — но номер и дата договора ДРУГИЕ. Возможно, это второй самостоятельный договор с тем же заказчиком, либо расхождение в одном из источников — уточнить у пользователя перед использованием в заявке. Грузополучатель — ООО «Солта», ИНН 2508058290/КПП 250801001/ОГРН 1022500696393 (указаны полностью в спецификации). УПД/факт поставки не предоставлены.</t>
  </si>
  <si>
    <t xml:space="preserve">ИТОГО</t>
  </si>
  <si>
    <t xml:space="preserve">Условные обозначения:</t>
  </si>
  <si>
    <t xml:space="preserve">Жёлтая заливка строки — есть расхождение между источниками или отсутствуют данные, требуется проверка перед использованием в заявке.</t>
  </si>
  <si>
    <t xml:space="preserve">Детализация по подтверждающим документам (УПД) — расшифровка сумм по договорам из «06 Опыт выполнения аналогичных договоров»</t>
  </si>
  <si>
    <t xml:space="preserve">№ договора (см. лист «Реестр договоров»)</t>
  </si>
  <si>
    <t xml:space="preserve">Договор</t>
  </si>
  <si>
    <t xml:space="preserve">УПД (номер и дата)</t>
  </si>
  <si>
    <t xml:space="preserve">Сумма, руб. без НДС</t>
  </si>
  <si>
    <t xml:space="preserve">Дата поставки/завершения</t>
  </si>
  <si>
    <t xml:space="preserve">№ЭП164/21</t>
  </si>
  <si>
    <t xml:space="preserve">УПД №71 от 09.06.2021</t>
  </si>
  <si>
    <t xml:space="preserve">09.06.2021</t>
  </si>
  <si>
    <t xml:space="preserve">УПД №82 от 22.06.2021</t>
  </si>
  <si>
    <t xml:space="preserve">22.06.2021</t>
  </si>
  <si>
    <t xml:space="preserve">УПД №83 от 23.06.2021</t>
  </si>
  <si>
    <t xml:space="preserve">23.06.2021</t>
  </si>
  <si>
    <t xml:space="preserve">№2021-6.11.3-2</t>
  </si>
  <si>
    <t xml:space="preserve">УПД №3 от 07.12.2021</t>
  </si>
  <si>
    <t xml:space="preserve">07.12.2021</t>
  </si>
  <si>
    <t xml:space="preserve">УПД №1 от 02.01.2022</t>
  </si>
  <si>
    <t xml:space="preserve">02.01.2022</t>
  </si>
  <si>
    <t xml:space="preserve">УПД №8 от 27.01.2022</t>
  </si>
  <si>
    <t xml:space="preserve">27.01.2022</t>
  </si>
  <si>
    <t xml:space="preserve">УПД №25 от 02.03.2022</t>
  </si>
  <si>
    <t xml:space="preserve">02.03.2022</t>
  </si>
  <si>
    <t xml:space="preserve">УПД №30 от 22.03.2022</t>
  </si>
  <si>
    <t xml:space="preserve">22.03.2022</t>
  </si>
  <si>
    <t xml:space="preserve">УПД №36 от 01.04.2022</t>
  </si>
  <si>
    <t xml:space="preserve">01.04.2022</t>
  </si>
  <si>
    <t xml:space="preserve">УПД №59 от 22.03.2022</t>
  </si>
  <si>
    <t xml:space="preserve">№039/23339-Д</t>
  </si>
  <si>
    <t xml:space="preserve">УПД №60 от 23.05.2022</t>
  </si>
  <si>
    <t xml:space="preserve">23.05.2022</t>
  </si>
  <si>
    <t xml:space="preserve">УПД №77 от 17.06.2022</t>
  </si>
  <si>
    <t xml:space="preserve">17.06.2022</t>
  </si>
  <si>
    <t xml:space="preserve">УПД №174 от 30.11.2022</t>
  </si>
  <si>
    <t xml:space="preserve">30.11.2022</t>
  </si>
  <si>
    <t xml:space="preserve">№039/26577-Д</t>
  </si>
  <si>
    <t xml:space="preserve">УПД №143 от 25.06.2023</t>
  </si>
  <si>
    <t xml:space="preserve">№МТО/2023-2811</t>
  </si>
  <si>
    <t xml:space="preserve">УПД №295 от 28.12.2023</t>
  </si>
  <si>
    <t xml:space="preserve">№3390023/1071Д</t>
  </si>
  <si>
    <t xml:space="preserve">УПД №285 от 27.11.2023</t>
  </si>
  <si>
    <t xml:space="preserve">27.11.2023</t>
  </si>
  <si>
    <t xml:space="preserve">УПД №266 от 30.11.2023</t>
  </si>
  <si>
    <t xml:space="preserve">30.11.2023</t>
  </si>
  <si>
    <t xml:space="preserve">УПД №299 от 28.12.2023</t>
  </si>
  <si>
    <t xml:space="preserve">№ГСП-1-24-00370_2</t>
  </si>
  <si>
    <t xml:space="preserve">УПД №185 от 08.08.2024</t>
  </si>
  <si>
    <t xml:space="preserve">08.08.2024</t>
  </si>
  <si>
    <t xml:space="preserve">УПД №189 от 19.08.2024</t>
  </si>
  <si>
    <t xml:space="preserve">19.08.2024</t>
  </si>
  <si>
    <t xml:space="preserve">УПД №202 от 03.09.2024</t>
  </si>
  <si>
    <t xml:space="preserve">03.09.2024</t>
  </si>
  <si>
    <t xml:space="preserve">УПД №217 от 17.09.2024</t>
  </si>
  <si>
    <t xml:space="preserve">№2023.147843</t>
  </si>
  <si>
    <t xml:space="preserve">УПД №159 от 18.08.2023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</si>
</sst>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10" min="9" style="1" width="15"/>
    <col collapsed="false" customWidth="true" hidden="false" outlineLevel="0" max="11" min="11" style="1" width="38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3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34.5" hidden="false" customHeight="true" outlineLevel="0" collapsed="false">
      <c r="A5" s="5" t="n">
        <v>1</v>
      </c>
      <c r="B5" s="6" t="s">
        <v>16</v>
      </c>
      <c r="C5" s="6" t="s">
        <v>17</v>
      </c>
      <c r="D5" s="5" t="s">
        <v>18</v>
      </c>
      <c r="E5" s="6" t="s">
        <v>19</v>
      </c>
      <c r="F5" s="5" t="s">
        <v>20</v>
      </c>
      <c r="G5" s="5" t="s">
        <v>21</v>
      </c>
      <c r="H5" s="6" t="s">
        <v>22</v>
      </c>
      <c r="I5" s="7" t="n">
        <v>8694000</v>
      </c>
      <c r="J5" s="7" t="n">
        <v>7245000</v>
      </c>
      <c r="K5" s="6" t="s">
        <v>23</v>
      </c>
      <c r="L5" s="6" t="s">
        <v>24</v>
      </c>
      <c r="M5" s="6" t="s">
        <v>25</v>
      </c>
      <c r="N5" s="6" t="s">
        <v>26</v>
      </c>
    </row>
    <row r="6" customFormat="false" ht="68.25" hidden="false" customHeight="true" outlineLevel="0" collapsed="false">
      <c r="A6" s="5" t="n">
        <v>2</v>
      </c>
      <c r="B6" s="6" t="s">
        <v>27</v>
      </c>
      <c r="C6" s="6" t="s">
        <v>28</v>
      </c>
      <c r="D6" s="5" t="s">
        <v>29</v>
      </c>
      <c r="E6" s="6" t="s">
        <v>30</v>
      </c>
      <c r="F6" s="5" t="s">
        <v>31</v>
      </c>
      <c r="G6" s="5" t="s">
        <v>32</v>
      </c>
      <c r="H6" s="6" t="s">
        <v>33</v>
      </c>
      <c r="I6" s="7" t="n">
        <v>56317800</v>
      </c>
      <c r="J6" s="7" t="n">
        <v>46931500</v>
      </c>
      <c r="K6" s="6" t="s">
        <v>34</v>
      </c>
      <c r="L6" s="6" t="s">
        <v>24</v>
      </c>
      <c r="M6" s="6" t="s">
        <v>35</v>
      </c>
      <c r="N6" s="6" t="s">
        <v>36</v>
      </c>
    </row>
    <row r="7" customFormat="false" ht="34.5" hidden="false" customHeight="true" outlineLevel="0" collapsed="false">
      <c r="A7" s="5" t="n">
        <v>3</v>
      </c>
      <c r="B7" s="6" t="s">
        <v>37</v>
      </c>
      <c r="C7" s="6" t="s">
        <v>38</v>
      </c>
      <c r="D7" s="5" t="s">
        <v>39</v>
      </c>
      <c r="E7" s="6" t="s">
        <v>40</v>
      </c>
      <c r="F7" s="5" t="s">
        <v>41</v>
      </c>
      <c r="G7" s="5" t="s">
        <v>42</v>
      </c>
      <c r="H7" s="6" t="s">
        <v>43</v>
      </c>
      <c r="I7" s="7" t="n">
        <v>48055800</v>
      </c>
      <c r="J7" s="7" t="n">
        <v>40046500</v>
      </c>
      <c r="K7" s="6" t="s">
        <v>44</v>
      </c>
      <c r="L7" s="6" t="s">
        <v>24</v>
      </c>
      <c r="M7" s="6" t="s">
        <v>35</v>
      </c>
      <c r="N7" s="6" t="s">
        <v>45</v>
      </c>
    </row>
    <row r="8" customFormat="false" ht="15" hidden="false" customHeight="true" outlineLevel="0" collapsed="false">
      <c r="A8" s="8" t="n">
        <v>4</v>
      </c>
      <c r="B8" s="9" t="s">
        <v>46</v>
      </c>
      <c r="C8" s="9" t="s">
        <v>38</v>
      </c>
      <c r="D8" s="8" t="s">
        <v>39</v>
      </c>
      <c r="E8" s="9"/>
      <c r="F8" s="8" t="s">
        <v>47</v>
      </c>
      <c r="G8" s="8" t="s">
        <v>48</v>
      </c>
      <c r="H8" s="9" t="s">
        <v>49</v>
      </c>
      <c r="I8" s="10" t="n">
        <v>4072000</v>
      </c>
      <c r="J8" s="10" t="n">
        <v>4072000</v>
      </c>
      <c r="K8" s="9" t="s">
        <v>50</v>
      </c>
      <c r="L8" s="9" t="s">
        <v>24</v>
      </c>
      <c r="M8" s="9" t="s">
        <v>51</v>
      </c>
      <c r="N8" s="9"/>
    </row>
    <row r="9" customFormat="false" ht="23.25" hidden="false" customHeight="true" outlineLevel="0" collapsed="false">
      <c r="A9" s="5" t="n">
        <v>5</v>
      </c>
      <c r="B9" s="6" t="s">
        <v>52</v>
      </c>
      <c r="C9" s="6" t="s">
        <v>53</v>
      </c>
      <c r="D9" s="5" t="s">
        <v>54</v>
      </c>
      <c r="E9" s="6"/>
      <c r="F9" s="5" t="s">
        <v>55</v>
      </c>
      <c r="G9" s="5" t="s">
        <v>56</v>
      </c>
      <c r="H9" s="6" t="s">
        <v>57</v>
      </c>
      <c r="I9" s="7" t="n">
        <v>3138085.94</v>
      </c>
      <c r="J9" s="7" t="n">
        <v>2615071.62</v>
      </c>
      <c r="K9" s="6" t="s">
        <v>58</v>
      </c>
      <c r="L9" s="6" t="s">
        <v>24</v>
      </c>
      <c r="M9" s="6" t="s">
        <v>25</v>
      </c>
      <c r="N9" s="6" t="s">
        <v>59</v>
      </c>
    </row>
    <row r="10" customFormat="false" ht="79.5" hidden="false" customHeight="true" outlineLevel="0" collapsed="false">
      <c r="A10" s="5" t="n">
        <v>6</v>
      </c>
      <c r="B10" s="6" t="s">
        <v>60</v>
      </c>
      <c r="C10" s="6" t="s">
        <v>61</v>
      </c>
      <c r="D10" s="5" t="s">
        <v>62</v>
      </c>
      <c r="E10" s="6" t="s">
        <v>63</v>
      </c>
      <c r="F10" s="5" t="s">
        <v>64</v>
      </c>
      <c r="G10" s="5" t="s">
        <v>56</v>
      </c>
      <c r="H10" s="6" t="s">
        <v>65</v>
      </c>
      <c r="I10" s="7" t="n">
        <v>4058060</v>
      </c>
      <c r="J10" s="7" t="n">
        <v>3381716.67</v>
      </c>
      <c r="K10" s="6" t="s">
        <v>66</v>
      </c>
      <c r="L10" s="6" t="s">
        <v>24</v>
      </c>
      <c r="M10" s="6" t="s">
        <v>35</v>
      </c>
      <c r="N10" s="6" t="s">
        <v>67</v>
      </c>
    </row>
    <row r="11" customFormat="false" ht="45.75" hidden="false" customHeight="true" outlineLevel="0" collapsed="false">
      <c r="A11" s="5" t="n">
        <v>7</v>
      </c>
      <c r="B11" s="6" t="s">
        <v>68</v>
      </c>
      <c r="C11" s="6" t="s">
        <v>69</v>
      </c>
      <c r="D11" s="5" t="s">
        <v>70</v>
      </c>
      <c r="E11" s="6"/>
      <c r="F11" s="5" t="s">
        <v>71</v>
      </c>
      <c r="G11" s="5" t="s">
        <v>72</v>
      </c>
      <c r="H11" s="6" t="s">
        <v>73</v>
      </c>
      <c r="I11" s="7" t="n">
        <v>1857860.02</v>
      </c>
      <c r="J11" s="7" t="n">
        <v>1548216.68</v>
      </c>
      <c r="K11" s="6" t="s">
        <v>74</v>
      </c>
      <c r="L11" s="6" t="s">
        <v>24</v>
      </c>
      <c r="M11" s="6" t="s">
        <v>51</v>
      </c>
      <c r="N11" s="6" t="s">
        <v>75</v>
      </c>
    </row>
    <row r="12" customFormat="false" ht="23.25" hidden="false" customHeight="true" outlineLevel="0" collapsed="false">
      <c r="A12" s="5" t="n">
        <v>8</v>
      </c>
      <c r="B12" s="6" t="s">
        <v>76</v>
      </c>
      <c r="C12" s="6" t="s">
        <v>77</v>
      </c>
      <c r="D12" s="5" t="s">
        <v>78</v>
      </c>
      <c r="E12" s="6" t="s">
        <v>19</v>
      </c>
      <c r="F12" s="5" t="s">
        <v>79</v>
      </c>
      <c r="G12" s="5" t="s">
        <v>80</v>
      </c>
      <c r="H12" s="6" t="s">
        <v>81</v>
      </c>
      <c r="I12" s="7" t="n">
        <v>1049000</v>
      </c>
      <c r="J12" s="7" t="n">
        <v>874166.67</v>
      </c>
      <c r="K12" s="6" t="s">
        <v>82</v>
      </c>
      <c r="L12" s="6" t="s">
        <v>24</v>
      </c>
      <c r="M12" s="6" t="s">
        <v>51</v>
      </c>
      <c r="N12" s="6" t="s">
        <v>75</v>
      </c>
    </row>
    <row r="13" customFormat="false" ht="15" hidden="false" customHeight="true" outlineLevel="0" collapsed="false">
      <c r="A13" s="5" t="n">
        <v>13</v>
      </c>
      <c r="B13" s="6" t="s">
        <v>83</v>
      </c>
      <c r="C13" s="6" t="s">
        <v>84</v>
      </c>
      <c r="D13" s="5"/>
      <c r="E13" s="6" t="s">
        <v>85</v>
      </c>
      <c r="F13" s="5" t="s">
        <v>86</v>
      </c>
      <c r="G13" s="5" t="s">
        <v>87</v>
      </c>
      <c r="H13" s="6" t="s">
        <v>88</v>
      </c>
      <c r="I13" s="7" t="n">
        <v>19966400.93</v>
      </c>
      <c r="J13" s="7" t="n">
        <v>16365902.4</v>
      </c>
      <c r="K13" s="6"/>
      <c r="L13" s="6" t="s">
        <v>24</v>
      </c>
      <c r="M13" s="6" t="s">
        <v>89</v>
      </c>
      <c r="N13" s="6" t="s">
        <v>90</v>
      </c>
    </row>
    <row r="14" customFormat="false" ht="23.25" hidden="false" customHeight="true" outlineLevel="0" collapsed="false">
      <c r="A14" s="5" t="n">
        <v>14</v>
      </c>
      <c r="B14" s="6" t="s">
        <v>91</v>
      </c>
      <c r="C14" s="6" t="s">
        <v>92</v>
      </c>
      <c r="D14" s="5"/>
      <c r="E14" s="6" t="s">
        <v>93</v>
      </c>
      <c r="F14" s="5" t="s">
        <v>86</v>
      </c>
      <c r="G14" s="5" t="s">
        <v>87</v>
      </c>
      <c r="H14" s="6" t="s">
        <v>94</v>
      </c>
      <c r="I14" s="7" t="n">
        <v>21838251.02</v>
      </c>
      <c r="J14" s="7" t="n">
        <v>17900205.75</v>
      </c>
      <c r="K14" s="6"/>
      <c r="L14" s="6" t="s">
        <v>24</v>
      </c>
      <c r="M14" s="6" t="s">
        <v>95</v>
      </c>
      <c r="N14" s="6" t="s">
        <v>96</v>
      </c>
    </row>
    <row r="15" customFormat="false" ht="57" hidden="false" customHeight="true" outlineLevel="0" collapsed="false">
      <c r="A15" s="5" t="n">
        <v>15</v>
      </c>
      <c r="B15" s="6" t="s">
        <v>97</v>
      </c>
      <c r="C15" s="6" t="s">
        <v>98</v>
      </c>
      <c r="D15" s="5" t="s">
        <v>99</v>
      </c>
      <c r="E15" s="6" t="s">
        <v>100</v>
      </c>
      <c r="F15" s="5" t="s">
        <v>86</v>
      </c>
      <c r="G15" s="5" t="s">
        <v>87</v>
      </c>
      <c r="H15" s="6" t="s">
        <v>101</v>
      </c>
      <c r="I15" s="7" t="n">
        <v>1871850.09</v>
      </c>
      <c r="J15" s="7" t="n">
        <v>1534303.35</v>
      </c>
      <c r="K15" s="6"/>
      <c r="L15" s="6" t="s">
        <v>24</v>
      </c>
      <c r="M15" s="6" t="s">
        <v>102</v>
      </c>
      <c r="N15" s="6" t="s">
        <v>103</v>
      </c>
    </row>
    <row r="16" customFormat="false" ht="23.25" hidden="false" customHeight="true" outlineLevel="0" collapsed="false">
      <c r="A16" s="5" t="n">
        <v>16</v>
      </c>
      <c r="B16" s="6" t="s">
        <v>104</v>
      </c>
      <c r="C16" s="6" t="s">
        <v>105</v>
      </c>
      <c r="D16" s="5" t="s">
        <v>106</v>
      </c>
      <c r="E16" s="6" t="s">
        <v>107</v>
      </c>
      <c r="F16" s="5" t="s">
        <v>108</v>
      </c>
      <c r="G16" s="5" t="s">
        <v>109</v>
      </c>
      <c r="H16" s="6" t="s">
        <v>110</v>
      </c>
      <c r="I16" s="7" t="n">
        <v>18718500.87</v>
      </c>
      <c r="J16" s="7" t="n">
        <v>15343033.5</v>
      </c>
      <c r="K16" s="6"/>
      <c r="L16" s="6" t="s">
        <v>24</v>
      </c>
      <c r="M16" s="6" t="s">
        <v>111</v>
      </c>
      <c r="N16" s="6" t="s">
        <v>112</v>
      </c>
    </row>
    <row r="17" customFormat="false" ht="15" hidden="false" customHeight="true" outlineLevel="0" collapsed="false">
      <c r="B17" s="11"/>
      <c r="C17" s="11"/>
      <c r="D17" s="11"/>
      <c r="E17" s="11"/>
      <c r="F17" s="11"/>
      <c r="G17" s="11"/>
      <c r="H17" s="11"/>
    </row>
    <row r="19" customFormat="false" ht="15" hidden="false" customHeight="true" outlineLevel="0" collapsed="false"/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15" hidden="false" customHeight="true" outlineLevel="0" collapsed="false">
      <c r="B21" s="12" t="s">
        <v>113</v>
      </c>
      <c r="C21" s="13"/>
      <c r="D21" s="13"/>
      <c r="E21" s="13"/>
      <c r="F21" s="13"/>
      <c r="G21" s="13"/>
      <c r="H21" s="13"/>
      <c r="I21" s="14" t="n">
        <f aca="false">SUM(I5:I20)</f>
        <v>189637608.87</v>
      </c>
      <c r="J21" s="14" t="n">
        <f aca="false">SUM(J5:J20)</f>
        <v>157857616.64</v>
      </c>
    </row>
    <row r="23" customFormat="false" ht="15" hidden="false" customHeight="true" outlineLevel="0" collapsed="false">
      <c r="A23" s="15" t="s">
        <v>114</v>
      </c>
    </row>
    <row r="24" customFormat="false" ht="15" hidden="false" customHeight="true" outlineLevel="0" collapsed="false">
      <c r="A24" s="16" t="s">
        <v>115</v>
      </c>
    </row>
  </sheetData>
  <mergeCells count="4">
    <mergeCell ref="A1:N1"/>
    <mergeCell ref="A2:N2"/>
    <mergeCell ref="B17:H17"/>
    <mergeCell ref="A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18"/>
  </cols>
  <sheetData>
    <row r="1" customFormat="false" ht="15.75" hidden="false" customHeight="true" outlineLevel="0" collapsed="false">
      <c r="A1" s="2" t="s">
        <v>116</v>
      </c>
      <c r="B1" s="2"/>
      <c r="C1" s="2"/>
      <c r="D1" s="2"/>
      <c r="E1" s="2"/>
    </row>
    <row r="3" customFormat="false" ht="45.75" hidden="false" customHeight="true" outlineLevel="0" collapsed="false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</row>
    <row r="4" customFormat="false" ht="15" hidden="false" customHeight="true" outlineLevel="0" collapsed="false">
      <c r="A4" s="8" t="n">
        <v>1</v>
      </c>
      <c r="B4" s="9" t="s">
        <v>122</v>
      </c>
      <c r="C4" s="9" t="s">
        <v>123</v>
      </c>
      <c r="D4" s="17" t="n">
        <v>2415000</v>
      </c>
      <c r="E4" s="8" t="s">
        <v>124</v>
      </c>
    </row>
    <row r="5" customFormat="false" ht="15" hidden="false" customHeight="true" outlineLevel="0" collapsed="false">
      <c r="A5" s="8" t="n">
        <v>1</v>
      </c>
      <c r="B5" s="9" t="s">
        <v>122</v>
      </c>
      <c r="C5" s="9" t="s">
        <v>125</v>
      </c>
      <c r="D5" s="17" t="n">
        <v>2415000</v>
      </c>
      <c r="E5" s="8" t="s">
        <v>126</v>
      </c>
    </row>
    <row r="6" customFormat="false" ht="15" hidden="false" customHeight="true" outlineLevel="0" collapsed="false">
      <c r="A6" s="8" t="n">
        <v>1</v>
      </c>
      <c r="B6" s="9" t="s">
        <v>122</v>
      </c>
      <c r="C6" s="9" t="s">
        <v>127</v>
      </c>
      <c r="D6" s="17" t="n">
        <v>2415000</v>
      </c>
      <c r="E6" s="8" t="s">
        <v>128</v>
      </c>
    </row>
    <row r="7" customFormat="false" ht="15" hidden="false" customHeight="true" outlineLevel="0" collapsed="false">
      <c r="A7" s="8" t="n">
        <v>2</v>
      </c>
      <c r="B7" s="9" t="s">
        <v>129</v>
      </c>
      <c r="C7" s="9" t="s">
        <v>130</v>
      </c>
      <c r="D7" s="17" t="n">
        <v>9386300</v>
      </c>
      <c r="E7" s="8" t="s">
        <v>131</v>
      </c>
    </row>
    <row r="8" customFormat="false" ht="15" hidden="false" customHeight="true" outlineLevel="0" collapsed="false">
      <c r="A8" s="8" t="n">
        <v>2</v>
      </c>
      <c r="B8" s="9" t="s">
        <v>129</v>
      </c>
      <c r="C8" s="9" t="s">
        <v>132</v>
      </c>
      <c r="D8" s="17" t="n">
        <v>6704500</v>
      </c>
      <c r="E8" s="8" t="s">
        <v>133</v>
      </c>
    </row>
    <row r="9" customFormat="false" ht="15" hidden="false" customHeight="true" outlineLevel="0" collapsed="false">
      <c r="A9" s="8" t="n">
        <v>2</v>
      </c>
      <c r="B9" s="9" t="s">
        <v>129</v>
      </c>
      <c r="C9" s="9" t="s">
        <v>134</v>
      </c>
      <c r="D9" s="17" t="n">
        <v>5363600</v>
      </c>
      <c r="E9" s="8" t="s">
        <v>135</v>
      </c>
    </row>
    <row r="10" customFormat="false" ht="15" hidden="false" customHeight="true" outlineLevel="0" collapsed="false">
      <c r="A10" s="8" t="n">
        <v>2</v>
      </c>
      <c r="B10" s="9" t="s">
        <v>129</v>
      </c>
      <c r="C10" s="9" t="s">
        <v>136</v>
      </c>
      <c r="D10" s="17" t="n">
        <v>6704500</v>
      </c>
      <c r="E10" s="8" t="s">
        <v>137</v>
      </c>
    </row>
    <row r="11" customFormat="false" ht="15" hidden="false" customHeight="true" outlineLevel="0" collapsed="false">
      <c r="A11" s="8" t="n">
        <v>2</v>
      </c>
      <c r="B11" s="9" t="s">
        <v>129</v>
      </c>
      <c r="C11" s="9" t="s">
        <v>138</v>
      </c>
      <c r="D11" s="17" t="n">
        <v>6704500</v>
      </c>
      <c r="E11" s="8" t="s">
        <v>139</v>
      </c>
    </row>
    <row r="12" customFormat="false" ht="15" hidden="false" customHeight="true" outlineLevel="0" collapsed="false">
      <c r="A12" s="8" t="n">
        <v>2</v>
      </c>
      <c r="B12" s="9" t="s">
        <v>129</v>
      </c>
      <c r="C12" s="9" t="s">
        <v>140</v>
      </c>
      <c r="D12" s="17" t="n">
        <v>8045400</v>
      </c>
      <c r="E12" s="8" t="s">
        <v>141</v>
      </c>
    </row>
    <row r="13" customFormat="false" ht="15" hidden="false" customHeight="true" outlineLevel="0" collapsed="false">
      <c r="A13" s="8" t="n">
        <v>2</v>
      </c>
      <c r="B13" s="9" t="s">
        <v>129</v>
      </c>
      <c r="C13" s="9" t="s">
        <v>142</v>
      </c>
      <c r="D13" s="17" t="n">
        <v>4022700</v>
      </c>
      <c r="E13" s="8" t="s">
        <v>139</v>
      </c>
    </row>
    <row r="14" customFormat="false" ht="15" hidden="false" customHeight="true" outlineLevel="0" collapsed="false">
      <c r="A14" s="8" t="n">
        <v>3</v>
      </c>
      <c r="B14" s="9" t="s">
        <v>143</v>
      </c>
      <c r="C14" s="9" t="s">
        <v>144</v>
      </c>
      <c r="D14" s="17" t="n">
        <v>15402500</v>
      </c>
      <c r="E14" s="8" t="s">
        <v>145</v>
      </c>
    </row>
    <row r="15" customFormat="false" ht="15" hidden="false" customHeight="true" outlineLevel="0" collapsed="false">
      <c r="A15" s="8" t="n">
        <v>3</v>
      </c>
      <c r="B15" s="9" t="s">
        <v>143</v>
      </c>
      <c r="C15" s="9" t="s">
        <v>146</v>
      </c>
      <c r="D15" s="17" t="n">
        <v>15402500</v>
      </c>
      <c r="E15" s="8" t="s">
        <v>147</v>
      </c>
    </row>
    <row r="16" customFormat="false" ht="15" hidden="false" customHeight="true" outlineLevel="0" collapsed="false">
      <c r="A16" s="8" t="n">
        <v>3</v>
      </c>
      <c r="B16" s="9" t="s">
        <v>143</v>
      </c>
      <c r="C16" s="9" t="s">
        <v>148</v>
      </c>
      <c r="D16" s="17" t="n">
        <v>9241500</v>
      </c>
      <c r="E16" s="8" t="s">
        <v>149</v>
      </c>
    </row>
    <row r="17" customFormat="false" ht="15" hidden="false" customHeight="true" outlineLevel="0" collapsed="false">
      <c r="A17" s="8" t="n">
        <v>4</v>
      </c>
      <c r="B17" s="9" t="s">
        <v>150</v>
      </c>
      <c r="C17" s="9" t="s">
        <v>151</v>
      </c>
      <c r="D17" s="17" t="n">
        <v>4072000</v>
      </c>
      <c r="E17" s="8" t="s">
        <v>48</v>
      </c>
    </row>
    <row r="18" customFormat="false" ht="15" hidden="false" customHeight="true" outlineLevel="0" collapsed="false">
      <c r="A18" s="8" t="n">
        <v>5</v>
      </c>
      <c r="B18" s="9" t="s">
        <v>152</v>
      </c>
      <c r="C18" s="9" t="s">
        <v>153</v>
      </c>
      <c r="D18" s="17" t="n">
        <v>2615071.62</v>
      </c>
      <c r="E18" s="8" t="s">
        <v>56</v>
      </c>
    </row>
    <row r="19" customFormat="false" ht="15" hidden="false" customHeight="true" outlineLevel="0" collapsed="false">
      <c r="A19" s="8" t="n">
        <v>6</v>
      </c>
      <c r="B19" s="9" t="s">
        <v>154</v>
      </c>
      <c r="C19" s="9" t="s">
        <v>155</v>
      </c>
      <c r="D19" s="17" t="n">
        <v>1092500.01</v>
      </c>
      <c r="E19" s="8" t="s">
        <v>156</v>
      </c>
    </row>
    <row r="20" customFormat="false" ht="15" hidden="false" customHeight="true" outlineLevel="0" collapsed="false">
      <c r="A20" s="8" t="n">
        <v>6</v>
      </c>
      <c r="B20" s="9" t="s">
        <v>154</v>
      </c>
      <c r="C20" s="9" t="s">
        <v>157</v>
      </c>
      <c r="D20" s="17" t="n">
        <v>1560883.32</v>
      </c>
      <c r="E20" s="8" t="s">
        <v>158</v>
      </c>
    </row>
    <row r="21" customFormat="false" ht="15" hidden="false" customHeight="true" outlineLevel="0" collapsed="false">
      <c r="A21" s="8" t="n">
        <v>6</v>
      </c>
      <c r="B21" s="9" t="s">
        <v>154</v>
      </c>
      <c r="C21" s="9" t="s">
        <v>159</v>
      </c>
      <c r="D21" s="17" t="n">
        <v>728333.34</v>
      </c>
      <c r="E21" s="8" t="s">
        <v>56</v>
      </c>
    </row>
    <row r="22" customFormat="false" ht="15" hidden="false" customHeight="true" outlineLevel="0" collapsed="false">
      <c r="A22" s="8" t="n">
        <v>7</v>
      </c>
      <c r="B22" s="9" t="s">
        <v>160</v>
      </c>
      <c r="C22" s="9" t="s">
        <v>161</v>
      </c>
      <c r="D22" s="17" t="n">
        <v>474633.34</v>
      </c>
      <c r="E22" s="8" t="s">
        <v>162</v>
      </c>
    </row>
    <row r="23" customFormat="false" ht="15" hidden="false" customHeight="true" outlineLevel="0" collapsed="false">
      <c r="A23" s="8" t="n">
        <v>7</v>
      </c>
      <c r="B23" s="9" t="s">
        <v>160</v>
      </c>
      <c r="C23" s="9" t="s">
        <v>163</v>
      </c>
      <c r="D23" s="17" t="n">
        <v>299475</v>
      </c>
      <c r="E23" s="8" t="s">
        <v>164</v>
      </c>
    </row>
    <row r="24" customFormat="false" ht="15" hidden="false" customHeight="true" outlineLevel="0" collapsed="false">
      <c r="A24" s="8" t="n">
        <v>7</v>
      </c>
      <c r="B24" s="9" t="s">
        <v>160</v>
      </c>
      <c r="C24" s="9" t="s">
        <v>165</v>
      </c>
      <c r="D24" s="17" t="n">
        <v>299475</v>
      </c>
      <c r="E24" s="8" t="s">
        <v>166</v>
      </c>
    </row>
    <row r="25" customFormat="false" ht="15" hidden="false" customHeight="true" outlineLevel="0" collapsed="false">
      <c r="A25" s="8" t="n">
        <v>7</v>
      </c>
      <c r="B25" s="9" t="s">
        <v>160</v>
      </c>
      <c r="C25" s="9" t="s">
        <v>167</v>
      </c>
      <c r="D25" s="17" t="n">
        <v>474633.34</v>
      </c>
      <c r="E25" s="8" t="s">
        <v>72</v>
      </c>
    </row>
    <row r="26" customFormat="false" ht="15" hidden="false" customHeight="true" outlineLevel="0" collapsed="false">
      <c r="A26" s="8" t="n">
        <v>8</v>
      </c>
      <c r="B26" s="9" t="s">
        <v>168</v>
      </c>
      <c r="C26" s="9" t="s">
        <v>169</v>
      </c>
      <c r="D26" s="17" t="n">
        <v>874166.67</v>
      </c>
      <c r="E26" s="8" t="s">
        <v>80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2026-08-13T11:02:10Z</dcterms:created>
  <dc:creator>openpyxl</dc:creator>
  <dc:description/>
  <dc:language>en-US</dc:language>
  <cp:lastModifiedBy/>
  <dcterms:modified xsi:type="dcterms:W3CDTF">2026-08-13T13:35:43Z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